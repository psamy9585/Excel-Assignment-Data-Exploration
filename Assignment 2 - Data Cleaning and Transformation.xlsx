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NTRII\ASSIGNMENT\Assignment 2\"/>
    </mc:Choice>
  </mc:AlternateContent>
  <bookViews>
    <workbookView xWindow="0" yWindow="0" windowWidth="23040" windowHeight="10440"/>
  </bookViews>
  <sheets>
    <sheet name="Dataset" sheetId="2" r:id="rId1"/>
  </sheets>
  <definedNames>
    <definedName name="_xlnm._FilterDatabase" localSheetId="0" hidden="1">Dataset!$A$1:$I$32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</calcChain>
</file>

<file path=xl/sharedStrings.xml><?xml version="1.0" encoding="utf-8"?>
<sst xmlns="http://schemas.openxmlformats.org/spreadsheetml/2006/main" count="194" uniqueCount="134">
  <si>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</si>
  <si>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</si>
  <si>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</si>
  <si>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</si>
  <si>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</si>
  <si>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</si>
  <si>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</si>
  <si>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</si>
  <si>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</si>
  <si>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</si>
  <si>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</si>
  <si>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</si>
  <si>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</si>
  <si>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</si>
  <si>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</si>
  <si>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</si>
  <si>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</si>
  <si>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</si>
  <si>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</si>
  <si>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</si>
  <si>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</si>
  <si>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</si>
  <si>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</si>
  <si>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</si>
  <si>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</si>
  <si>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</si>
  <si>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</si>
  <si>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</si>
  <si>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</si>
  <si>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</si>
  <si>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</si>
  <si>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</si>
  <si>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</si>
  <si>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</si>
  <si>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</si>
  <si>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</si>
  <si>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</si>
  <si>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</si>
  <si>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</si>
  <si>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</si>
  <si>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</si>
  <si>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</si>
  <si>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</si>
  <si>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</si>
  <si>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</si>
  <si>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</si>
  <si>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</si>
  <si>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</si>
  <si>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</si>
  <si>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</si>
  <si>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</si>
  <si>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</si>
  <si>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</si>
  <si>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</si>
  <si>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</si>
  <si>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</si>
  <si>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</si>
  <si>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</si>
  <si>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</si>
  <si>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</si>
  <si>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</si>
  <si>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</si>
  <si>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</si>
  <si>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</si>
  <si>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</si>
  <si>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</si>
  <si>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</si>
  <si>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</si>
  <si>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</si>
  <si>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</si>
  <si>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</si>
  <si>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</si>
  <si>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</si>
  <si>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</si>
  <si>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</si>
  <si>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</si>
  <si>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</si>
  <si>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</si>
  <si>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</si>
  <si>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</si>
  <si>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</si>
  <si>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</si>
  <si>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</si>
  <si>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</si>
  <si>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</si>
  <si>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</si>
  <si>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</si>
  <si>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</si>
  <si>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</si>
  <si>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</si>
  <si>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</si>
  <si>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</si>
  <si>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</si>
  <si>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</si>
  <si>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Manufacturing Date</t>
  </si>
  <si>
    <t>Country Code</t>
  </si>
  <si>
    <t>Product Brand</t>
  </si>
  <si>
    <t>UK</t>
  </si>
  <si>
    <t>CA</t>
  </si>
  <si>
    <t>US</t>
  </si>
  <si>
    <t>DE</t>
  </si>
  <si>
    <t>FR</t>
  </si>
  <si>
    <t>RU</t>
  </si>
  <si>
    <t>ES</t>
  </si>
  <si>
    <t>IN</t>
  </si>
  <si>
    <t>BR</t>
  </si>
  <si>
    <t>CN</t>
  </si>
  <si>
    <t>AU</t>
  </si>
  <si>
    <t>IT</t>
  </si>
  <si>
    <t>Handling Missing Values:</t>
  </si>
  <si>
    <t>● Check for missing values in the 'Price' column. How would you handle products with missing price information?</t>
  </si>
  <si>
    <t>● If there are products with missing categories, propose a strategy to impute or deal with these missing values effectively.</t>
  </si>
  <si>
    <t>IF(ISBLANK(G2),"Unknown",G2)</t>
  </si>
  <si>
    <t xml:space="preserve"> IF(ISBLANK(E2),AVERAGE(E2:E39),E2)</t>
  </si>
  <si>
    <t xml:space="preserve">● Identify any inconsistent text formats present in the "Product Name" column. </t>
  </si>
  <si>
    <t>Smartphone, Headphone, Laptop all 3 products are inconsistent text format.</t>
  </si>
  <si>
    <t>Electronics is the typo error</t>
  </si>
  <si>
    <t>● Identify any typos present in the "Category" column.</t>
  </si>
  <si>
    <t>● Use the find and replace function to standardize the text formats in the "Product Name" column and fix any typos or misspellings in the "Category" column.</t>
  </si>
  <si>
    <r>
      <t xml:space="preserve"> Products Smartphone, Headphone, Laptop and Category is </t>
    </r>
    <r>
      <rPr>
        <b/>
        <sz val="10"/>
        <color rgb="FF000000"/>
        <rFont val="Arial"/>
        <family val="2"/>
      </rPr>
      <t>Electronics</t>
    </r>
  </si>
  <si>
    <t>Correcting Inconsistent Data:</t>
  </si>
  <si>
    <t>Removing Duplicates:</t>
  </si>
  <si>
    <t>Identify any duplicate rows within the dataset based on the entirety of each row, and remove them if any</t>
  </si>
  <si>
    <t>3 Duplicates</t>
  </si>
  <si>
    <t>Splitting and Merging Data:</t>
  </si>
  <si>
    <t xml:space="preserve">Split the "Product ID" column into two separate columns for " Manufacturing Date" and "Country Code". Remove unnecessary characters, if any. </t>
  </si>
  <si>
    <t>Completed</t>
  </si>
  <si>
    <t>Merge the "Brand Name" and "Product Name" columns into one column named "Product Brand".</t>
  </si>
  <si>
    <t>Number Formatting:</t>
  </si>
  <si>
    <t>Format the data type of the "Price" column to a currency format.</t>
  </si>
  <si>
    <t xml:space="preserve">Format the "Manufacturing Date" column to display dates in the "DD-MM-YYYY " format. </t>
  </si>
  <si>
    <t>Conditional Formatting:</t>
  </si>
  <si>
    <t xml:space="preserve">Apply data bar or color scales conditional formatting in the "Price" column. </t>
  </si>
  <si>
    <t>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</si>
</sst>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809]#,##0"/>
    <numFmt numFmtId="165" formatCode="[$-14009]dd/mm/yyyy;@"/>
  </numFmts>
  <fonts count="9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2" fillId="3" borderId="0" xfId="0" applyNumberFormat="1" applyFont="1" applyFill="1"/>
    <xf numFmtId="1" fontId="0" fillId="0" borderId="0" xfId="0" applyNumberFormat="1" applyFont="1" applyAlignment="1"/>
    <xf numFmtId="0" fontId="4" fillId="0" borderId="0" xfId="0" applyFont="1" applyAlignment="1">
      <alignment vertical="center"/>
    </xf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Font="1" applyAlignme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 applyFont="1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/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wrapText="1"/>
    </xf>
    <xf numFmtId="0" fontId="7" fillId="4" borderId="0" xfId="0" applyFont="1" applyFill="1" applyAlignment="1"/>
    <xf numFmtId="0" fontId="6" fillId="4" borderId="0" xfId="0" applyFont="1" applyFill="1" applyAlignment="1">
      <alignment vertical="center" wrapText="1"/>
    </xf>
  </cellXfs>
  <cellStyles count="1">
    <cellStyle name="Normal" xfId="0" builtinId="0"/>
  </cellStyles>
  <dxfs count="18">
    <dxf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0"/>
  <sheetViews>
    <sheetView tabSelected="1" topLeftCell="I1" workbookViewId="0">
      <selection activeCell="L25" sqref="L25"/>
    </sheetView>
  </sheetViews>
  <sheetFormatPr defaultColWidth="12.6328125" defaultRowHeight="15" customHeight="1"/>
  <cols>
    <col min="1" max="1" width="12.6328125" style="6" customWidth="1"/>
    <col min="2" max="2" width="22.453125" style="18" bestFit="1" customWidth="1"/>
    <col min="3" max="3" width="12.6328125" style="6" customWidth="1"/>
    <col min="4" max="4" width="17.6328125" style="6" bestFit="1" customWidth="1"/>
    <col min="5" max="5" width="15.90625" style="6" bestFit="1" customWidth="1"/>
    <col min="6" max="6" width="18" style="6" bestFit="1" customWidth="1"/>
    <col min="7" max="7" width="12.54296875" style="14" bestFit="1" customWidth="1"/>
    <col min="8" max="8" width="12.7265625" style="10" bestFit="1" customWidth="1"/>
    <col min="9" max="9" width="13.1796875" style="6" bestFit="1" customWidth="1"/>
    <col min="11" max="11" width="76.453125" bestFit="1" customWidth="1"/>
    <col min="12" max="12" width="42.81640625" customWidth="1"/>
  </cols>
  <sheetData>
    <row r="1" spans="1:19" ht="15.75" customHeight="1">
      <c r="A1" s="3" t="s">
        <v>0</v>
      </c>
      <c r="B1" s="15" t="s">
        <v>94</v>
      </c>
      <c r="C1" s="3" t="s">
        <v>95</v>
      </c>
      <c r="D1" s="3" t="s">
        <v>1</v>
      </c>
      <c r="E1" s="3" t="s">
        <v>2</v>
      </c>
      <c r="F1" s="3" t="s">
        <v>96</v>
      </c>
      <c r="G1" s="13" t="s">
        <v>3</v>
      </c>
      <c r="H1" s="7" t="s">
        <v>4</v>
      </c>
      <c r="I1" s="3" t="s">
        <v>5</v>
      </c>
    </row>
    <row r="2" spans="1:19" ht="15.75" customHeight="1">
      <c r="A2" s="4" t="s">
        <v>57</v>
      </c>
      <c r="B2" s="16">
        <v>1</v>
      </c>
      <c r="C2" s="4" t="s">
        <v>97</v>
      </c>
      <c r="D2" s="4" t="s">
        <v>58</v>
      </c>
      <c r="E2" s="4" t="s">
        <v>59</v>
      </c>
      <c r="F2" s="11" t="str">
        <f>CONCATENATE(D2," ",E2)</f>
        <v>Sunglasses Oakley</v>
      </c>
      <c r="G2" s="12">
        <v>150</v>
      </c>
      <c r="H2" s="8">
        <v>15</v>
      </c>
      <c r="I2" s="4" t="s">
        <v>12</v>
      </c>
      <c r="K2" s="19" t="s">
        <v>109</v>
      </c>
    </row>
    <row r="3" spans="1:19" ht="29">
      <c r="A3" s="5" t="s">
        <v>87</v>
      </c>
      <c r="B3" s="17">
        <v>2</v>
      </c>
      <c r="C3" s="5" t="s">
        <v>98</v>
      </c>
      <c r="D3" s="5" t="s">
        <v>88</v>
      </c>
      <c r="E3" s="5" t="s">
        <v>89</v>
      </c>
      <c r="F3" s="11" t="str">
        <f t="shared" ref="F3:F32" si="0">CONCATENATE(D3," ",E3)</f>
        <v>Jeans Levi's</v>
      </c>
      <c r="G3" s="12">
        <v>50</v>
      </c>
      <c r="H3" s="9">
        <v>50</v>
      </c>
      <c r="I3" s="4" t="s">
        <v>12</v>
      </c>
      <c r="K3" s="21" t="s">
        <v>110</v>
      </c>
      <c r="L3" s="23" t="s">
        <v>113</v>
      </c>
      <c r="M3" s="1"/>
      <c r="N3" s="1"/>
      <c r="O3" s="1"/>
      <c r="P3" s="1"/>
      <c r="Q3" s="1"/>
      <c r="R3" s="1"/>
      <c r="S3" s="1"/>
    </row>
    <row r="4" spans="1:19" ht="15.75" customHeight="1">
      <c r="A4" s="5" t="s">
        <v>75</v>
      </c>
      <c r="B4" s="17">
        <v>3</v>
      </c>
      <c r="C4" s="5" t="s">
        <v>98</v>
      </c>
      <c r="D4" s="5" t="s">
        <v>58</v>
      </c>
      <c r="E4" s="5" t="s">
        <v>76</v>
      </c>
      <c r="F4" s="11" t="str">
        <f t="shared" si="0"/>
        <v>Sunglasses Ray-Ban</v>
      </c>
      <c r="G4" s="12">
        <v>313.07692307692309</v>
      </c>
      <c r="H4" s="9">
        <v>25</v>
      </c>
      <c r="I4" s="4" t="s">
        <v>12</v>
      </c>
      <c r="L4" s="1"/>
      <c r="M4" s="2"/>
      <c r="N4" s="1"/>
      <c r="O4" s="1"/>
      <c r="P4" s="1"/>
      <c r="Q4" s="1"/>
      <c r="R4" s="1"/>
      <c r="S4" s="1"/>
    </row>
    <row r="5" spans="1:19" ht="29">
      <c r="A5" s="4" t="s">
        <v>13</v>
      </c>
      <c r="B5" s="16">
        <v>3</v>
      </c>
      <c r="C5" s="4" t="s">
        <v>99</v>
      </c>
      <c r="D5" s="4" t="s">
        <v>14</v>
      </c>
      <c r="E5" s="4" t="s">
        <v>15</v>
      </c>
      <c r="F5" s="11" t="str">
        <f t="shared" si="0"/>
        <v>Coffee Maker Keurig</v>
      </c>
      <c r="G5" s="12">
        <v>130</v>
      </c>
      <c r="H5" s="8">
        <v>40</v>
      </c>
      <c r="I5" s="4" t="s">
        <v>16</v>
      </c>
      <c r="K5" s="21" t="s">
        <v>111</v>
      </c>
      <c r="L5" s="23" t="s">
        <v>112</v>
      </c>
      <c r="M5" s="2"/>
      <c r="N5" s="1"/>
      <c r="O5" s="1"/>
      <c r="P5" s="1"/>
      <c r="Q5" s="1"/>
      <c r="R5" s="1"/>
      <c r="S5" s="1"/>
    </row>
    <row r="6" spans="1:19" ht="15.75" customHeight="1">
      <c r="A6" s="4" t="s">
        <v>31</v>
      </c>
      <c r="B6" s="16">
        <v>5</v>
      </c>
      <c r="C6" s="4" t="s">
        <v>97</v>
      </c>
      <c r="D6" s="4" t="s">
        <v>32</v>
      </c>
      <c r="E6" s="4" t="s">
        <v>33</v>
      </c>
      <c r="F6" s="11" t="str">
        <f t="shared" si="0"/>
        <v>Tablet Apple</v>
      </c>
      <c r="G6" s="12">
        <v>500</v>
      </c>
      <c r="H6" s="8">
        <v>50</v>
      </c>
      <c r="I6" s="4" t="s">
        <v>8</v>
      </c>
    </row>
    <row r="7" spans="1:19" ht="15.75" customHeight="1">
      <c r="A7" s="5" t="s">
        <v>22</v>
      </c>
      <c r="B7" s="17">
        <v>7</v>
      </c>
      <c r="C7" s="5" t="s">
        <v>97</v>
      </c>
      <c r="D7" s="5" t="s">
        <v>23</v>
      </c>
      <c r="E7" s="5" t="s">
        <v>24</v>
      </c>
      <c r="F7" s="11" t="str">
        <f t="shared" si="0"/>
        <v>Headphones Sony</v>
      </c>
      <c r="G7" s="12">
        <v>312.91666666666669</v>
      </c>
      <c r="H7" s="9">
        <v>45</v>
      </c>
      <c r="I7" s="4" t="s">
        <v>8</v>
      </c>
      <c r="K7" s="19" t="s">
        <v>120</v>
      </c>
    </row>
    <row r="8" spans="1:19" ht="26">
      <c r="A8" s="4" t="s">
        <v>79</v>
      </c>
      <c r="B8" s="16">
        <v>7</v>
      </c>
      <c r="C8" s="4" t="s">
        <v>98</v>
      </c>
      <c r="D8" s="4" t="s">
        <v>80</v>
      </c>
      <c r="E8" s="4" t="s">
        <v>81</v>
      </c>
      <c r="F8" s="11" t="str">
        <f t="shared" si="0"/>
        <v>Dress Zara</v>
      </c>
      <c r="G8" s="12">
        <v>60</v>
      </c>
      <c r="H8" s="8">
        <v>30</v>
      </c>
      <c r="I8" s="4" t="s">
        <v>12</v>
      </c>
      <c r="K8" s="21" t="s">
        <v>114</v>
      </c>
      <c r="L8" s="24" t="s">
        <v>115</v>
      </c>
    </row>
    <row r="9" spans="1:19" ht="15.75" customHeight="1">
      <c r="A9" s="4" t="s">
        <v>42</v>
      </c>
      <c r="B9" s="16">
        <v>8</v>
      </c>
      <c r="C9" s="4" t="s">
        <v>100</v>
      </c>
      <c r="D9" s="4" t="s">
        <v>14</v>
      </c>
      <c r="E9" s="4" t="s">
        <v>43</v>
      </c>
      <c r="F9" s="11" t="str">
        <f t="shared" si="0"/>
        <v>Coffee Maker Nespresso</v>
      </c>
      <c r="G9" s="12">
        <v>120</v>
      </c>
      <c r="H9" s="8">
        <v>35</v>
      </c>
      <c r="I9" s="4" t="s">
        <v>93</v>
      </c>
      <c r="K9" s="20" t="s">
        <v>117</v>
      </c>
      <c r="L9" s="25" t="s">
        <v>116</v>
      </c>
    </row>
    <row r="10" spans="1:19" ht="29">
      <c r="A10" s="5" t="s">
        <v>66</v>
      </c>
      <c r="B10" s="17">
        <v>9</v>
      </c>
      <c r="C10" s="5" t="s">
        <v>98</v>
      </c>
      <c r="D10" s="5" t="s">
        <v>67</v>
      </c>
      <c r="E10" s="5" t="s">
        <v>68</v>
      </c>
      <c r="F10" s="11" t="str">
        <f t="shared" si="0"/>
        <v>Microwave Panasonic</v>
      </c>
      <c r="G10" s="12">
        <v>80</v>
      </c>
      <c r="H10" s="9">
        <v>20</v>
      </c>
      <c r="I10" s="4" t="s">
        <v>16</v>
      </c>
      <c r="K10" s="21" t="s">
        <v>118</v>
      </c>
      <c r="L10" s="26" t="s">
        <v>119</v>
      </c>
    </row>
    <row r="11" spans="1:19" ht="15.75" customHeight="1">
      <c r="A11" s="5" t="s">
        <v>90</v>
      </c>
      <c r="B11" s="17">
        <v>9</v>
      </c>
      <c r="C11" s="5" t="s">
        <v>101</v>
      </c>
      <c r="D11" s="5" t="s">
        <v>91</v>
      </c>
      <c r="E11" s="5" t="s">
        <v>92</v>
      </c>
      <c r="F11" s="11" t="str">
        <f t="shared" si="0"/>
        <v>Watch Casio</v>
      </c>
      <c r="G11" s="12">
        <v>100</v>
      </c>
      <c r="H11" s="9">
        <v>20</v>
      </c>
      <c r="I11" s="4" t="s">
        <v>52</v>
      </c>
    </row>
    <row r="12" spans="1:19" ht="15.75" customHeight="1">
      <c r="A12" s="5" t="s">
        <v>17</v>
      </c>
      <c r="B12" s="17">
        <v>11</v>
      </c>
      <c r="C12" s="5" t="s">
        <v>99</v>
      </c>
      <c r="D12" s="5" t="s">
        <v>73</v>
      </c>
      <c r="E12" s="5" t="s">
        <v>18</v>
      </c>
      <c r="F12" s="11" t="str">
        <f t="shared" si="0"/>
        <v>Smartphone Samsung</v>
      </c>
      <c r="G12" s="12">
        <v>900</v>
      </c>
      <c r="H12" s="9">
        <v>25</v>
      </c>
      <c r="I12" s="4" t="s">
        <v>8</v>
      </c>
      <c r="K12" s="19" t="s">
        <v>121</v>
      </c>
    </row>
    <row r="13" spans="1:19" ht="29">
      <c r="A13" s="4" t="s">
        <v>77</v>
      </c>
      <c r="B13" s="16">
        <v>11</v>
      </c>
      <c r="C13" s="4" t="s">
        <v>98</v>
      </c>
      <c r="D13" s="4" t="s">
        <v>29</v>
      </c>
      <c r="E13" s="4" t="s">
        <v>78</v>
      </c>
      <c r="F13" s="11" t="str">
        <f t="shared" si="0"/>
        <v>Blender Vitamix</v>
      </c>
      <c r="G13" s="12">
        <v>400</v>
      </c>
      <c r="H13" s="8">
        <v>40</v>
      </c>
      <c r="I13" s="4" t="s">
        <v>16</v>
      </c>
      <c r="K13" s="21" t="s">
        <v>122</v>
      </c>
      <c r="L13" s="23" t="s">
        <v>123</v>
      </c>
    </row>
    <row r="14" spans="1:19" ht="15.75" customHeight="1">
      <c r="A14" s="5" t="s">
        <v>82</v>
      </c>
      <c r="B14" s="17">
        <v>13</v>
      </c>
      <c r="C14" s="5" t="s">
        <v>98</v>
      </c>
      <c r="D14" s="5" t="s">
        <v>83</v>
      </c>
      <c r="E14" s="5" t="s">
        <v>84</v>
      </c>
      <c r="F14" s="11" t="str">
        <f t="shared" si="0"/>
        <v>Toaster Hamilton</v>
      </c>
      <c r="G14" s="12">
        <v>40</v>
      </c>
      <c r="H14" s="9">
        <v>10</v>
      </c>
      <c r="I14" s="4" t="s">
        <v>16</v>
      </c>
      <c r="K14" s="22"/>
    </row>
    <row r="15" spans="1:19" ht="15.75" customHeight="1">
      <c r="A15" s="5" t="s">
        <v>60</v>
      </c>
      <c r="B15" s="17">
        <v>14</v>
      </c>
      <c r="C15" s="5" t="s">
        <v>99</v>
      </c>
      <c r="D15" s="5" t="s">
        <v>61</v>
      </c>
      <c r="E15" s="5" t="s">
        <v>62</v>
      </c>
      <c r="F15" s="11" t="str">
        <f t="shared" si="0"/>
        <v>Camping Tent Coleman</v>
      </c>
      <c r="G15" s="12">
        <v>341.76470588235293</v>
      </c>
      <c r="H15" s="9">
        <v>10</v>
      </c>
      <c r="I15" s="4" t="s">
        <v>37</v>
      </c>
      <c r="K15" s="19" t="s">
        <v>124</v>
      </c>
    </row>
    <row r="16" spans="1:19" ht="29">
      <c r="A16" s="4" t="s">
        <v>63</v>
      </c>
      <c r="B16" s="16">
        <v>14</v>
      </c>
      <c r="C16" s="4" t="s">
        <v>102</v>
      </c>
      <c r="D16" s="4" t="s">
        <v>64</v>
      </c>
      <c r="E16" s="4" t="s">
        <v>65</v>
      </c>
      <c r="F16" s="11" t="str">
        <f t="shared" si="0"/>
        <v>Camera Nikon</v>
      </c>
      <c r="G16" s="12">
        <v>700</v>
      </c>
      <c r="H16" s="8">
        <v>50</v>
      </c>
      <c r="I16" s="4" t="s">
        <v>8</v>
      </c>
      <c r="K16" s="21" t="s">
        <v>125</v>
      </c>
      <c r="L16" s="25" t="s">
        <v>126</v>
      </c>
    </row>
    <row r="17" spans="1:12" ht="29">
      <c r="A17" s="5" t="s">
        <v>34</v>
      </c>
      <c r="B17" s="17">
        <v>14</v>
      </c>
      <c r="C17" s="5" t="s">
        <v>97</v>
      </c>
      <c r="D17" s="5" t="s">
        <v>35</v>
      </c>
      <c r="E17" s="5" t="s">
        <v>36</v>
      </c>
      <c r="F17" s="11" t="str">
        <f t="shared" si="0"/>
        <v>Hiking Boots Timberland</v>
      </c>
      <c r="G17" s="12">
        <v>130</v>
      </c>
      <c r="H17" s="9">
        <v>10</v>
      </c>
      <c r="I17" s="4" t="s">
        <v>37</v>
      </c>
      <c r="K17" s="21" t="s">
        <v>127</v>
      </c>
      <c r="L17" s="25" t="s">
        <v>126</v>
      </c>
    </row>
    <row r="18" spans="1:12" ht="15.75" customHeight="1">
      <c r="A18" s="5" t="s">
        <v>9</v>
      </c>
      <c r="B18" s="17">
        <v>15</v>
      </c>
      <c r="C18" s="5" t="s">
        <v>99</v>
      </c>
      <c r="D18" s="5" t="s">
        <v>10</v>
      </c>
      <c r="E18" s="5" t="s">
        <v>11</v>
      </c>
      <c r="F18" s="11" t="str">
        <f t="shared" si="0"/>
        <v>Sneakers Nike</v>
      </c>
      <c r="G18" s="12">
        <v>80</v>
      </c>
      <c r="H18" s="9">
        <v>15</v>
      </c>
      <c r="I18" s="4" t="s">
        <v>12</v>
      </c>
      <c r="K18" s="22"/>
    </row>
    <row r="19" spans="1:12" ht="15.75" customHeight="1">
      <c r="A19" s="4" t="s">
        <v>47</v>
      </c>
      <c r="B19" s="16">
        <v>16</v>
      </c>
      <c r="C19" s="4" t="s">
        <v>103</v>
      </c>
      <c r="D19" s="4" t="s">
        <v>23</v>
      </c>
      <c r="E19" s="4" t="s">
        <v>48</v>
      </c>
      <c r="F19" s="11" t="str">
        <f t="shared" si="0"/>
        <v>Headphones Bose</v>
      </c>
      <c r="G19" s="12">
        <v>250</v>
      </c>
      <c r="H19" s="8">
        <v>20</v>
      </c>
      <c r="I19" s="4" t="s">
        <v>8</v>
      </c>
      <c r="K19" s="19" t="s">
        <v>128</v>
      </c>
    </row>
    <row r="20" spans="1:12" ht="15.75" customHeight="1">
      <c r="A20" s="4" t="s">
        <v>38</v>
      </c>
      <c r="B20" s="16">
        <v>17</v>
      </c>
      <c r="C20" s="4" t="s">
        <v>104</v>
      </c>
      <c r="D20" s="4" t="s">
        <v>39</v>
      </c>
      <c r="E20" s="4" t="s">
        <v>40</v>
      </c>
      <c r="F20" s="11" t="str">
        <f t="shared" si="0"/>
        <v>Laptop HP</v>
      </c>
      <c r="G20" s="12">
        <v>950</v>
      </c>
      <c r="H20" s="8">
        <v>25</v>
      </c>
      <c r="I20" s="4" t="s">
        <v>8</v>
      </c>
      <c r="K20" s="20" t="s">
        <v>129</v>
      </c>
      <c r="L20" s="25" t="s">
        <v>126</v>
      </c>
    </row>
    <row r="21" spans="1:12" ht="15.75" customHeight="1">
      <c r="A21" s="5" t="s">
        <v>44</v>
      </c>
      <c r="B21" s="17">
        <v>18</v>
      </c>
      <c r="C21" s="5" t="s">
        <v>98</v>
      </c>
      <c r="D21" s="5" t="s">
        <v>45</v>
      </c>
      <c r="E21" s="5" t="s">
        <v>46</v>
      </c>
      <c r="F21" s="11" t="str">
        <f t="shared" si="0"/>
        <v>Smartwatch Fitbit</v>
      </c>
      <c r="G21" s="12">
        <v>150</v>
      </c>
      <c r="H21" s="9">
        <v>15</v>
      </c>
      <c r="I21" s="4" t="s">
        <v>8</v>
      </c>
      <c r="K21" s="20" t="s">
        <v>130</v>
      </c>
      <c r="L21" s="25" t="s">
        <v>126</v>
      </c>
    </row>
    <row r="22" spans="1:12" ht="15.75" customHeight="1">
      <c r="A22" s="4" t="s">
        <v>69</v>
      </c>
      <c r="B22" s="16">
        <v>19</v>
      </c>
      <c r="C22" s="4" t="s">
        <v>105</v>
      </c>
      <c r="D22" s="4" t="s">
        <v>70</v>
      </c>
      <c r="E22" s="4" t="s">
        <v>71</v>
      </c>
      <c r="F22" s="11" t="str">
        <f t="shared" si="0"/>
        <v>Fitness Tracker Xiaomi</v>
      </c>
      <c r="G22" s="12">
        <v>150</v>
      </c>
      <c r="H22" s="8">
        <v>30</v>
      </c>
      <c r="I22" s="4" t="s">
        <v>93</v>
      </c>
      <c r="K22" s="22"/>
    </row>
    <row r="23" spans="1:12" ht="15.75" customHeight="1">
      <c r="A23" s="4" t="s">
        <v>25</v>
      </c>
      <c r="B23" s="16">
        <v>19</v>
      </c>
      <c r="C23" s="4" t="s">
        <v>97</v>
      </c>
      <c r="D23" s="4" t="s">
        <v>26</v>
      </c>
      <c r="E23" s="4" t="s">
        <v>27</v>
      </c>
      <c r="F23" s="11" t="str">
        <f t="shared" si="0"/>
        <v>T-shirt Adidas</v>
      </c>
      <c r="G23" s="12">
        <v>30</v>
      </c>
      <c r="H23" s="8">
        <v>5</v>
      </c>
      <c r="I23" s="4" t="s">
        <v>12</v>
      </c>
      <c r="K23" s="19" t="s">
        <v>131</v>
      </c>
    </row>
    <row r="24" spans="1:12" ht="15.75" customHeight="1">
      <c r="A24" s="4" t="s">
        <v>53</v>
      </c>
      <c r="B24" s="16">
        <v>20</v>
      </c>
      <c r="C24" s="4" t="s">
        <v>106</v>
      </c>
      <c r="D24" s="4" t="s">
        <v>45</v>
      </c>
      <c r="E24" s="4" t="s">
        <v>54</v>
      </c>
      <c r="F24" s="11" t="str">
        <f t="shared" si="0"/>
        <v>Smartwatch Huawei</v>
      </c>
      <c r="G24" s="12">
        <v>160</v>
      </c>
      <c r="H24" s="8">
        <v>15</v>
      </c>
      <c r="I24" s="4" t="s">
        <v>8</v>
      </c>
      <c r="K24" s="22" t="s">
        <v>132</v>
      </c>
      <c r="L24" s="25" t="s">
        <v>126</v>
      </c>
    </row>
    <row r="25" spans="1:12" ht="29">
      <c r="A25" s="5" t="s">
        <v>49</v>
      </c>
      <c r="B25" s="17">
        <v>21</v>
      </c>
      <c r="C25" s="5" t="s">
        <v>98</v>
      </c>
      <c r="D25" s="5" t="s">
        <v>50</v>
      </c>
      <c r="E25" s="5" t="s">
        <v>51</v>
      </c>
      <c r="F25" s="11" t="str">
        <f t="shared" si="0"/>
        <v>Laptop Bag Samsonite</v>
      </c>
      <c r="G25" s="12">
        <v>50</v>
      </c>
      <c r="H25" s="9">
        <v>35</v>
      </c>
      <c r="I25" s="4" t="s">
        <v>52</v>
      </c>
      <c r="K25" s="21" t="s">
        <v>133</v>
      </c>
      <c r="L25" s="25" t="s">
        <v>126</v>
      </c>
    </row>
    <row r="26" spans="1:12" ht="15.75" customHeight="1">
      <c r="A26" s="4" t="s">
        <v>19</v>
      </c>
      <c r="B26" s="16">
        <v>22</v>
      </c>
      <c r="C26" s="4" t="s">
        <v>99</v>
      </c>
      <c r="D26" s="4" t="s">
        <v>20</v>
      </c>
      <c r="E26" s="4" t="s">
        <v>21</v>
      </c>
      <c r="F26" s="11" t="str">
        <f t="shared" si="0"/>
        <v>Backpack North Face</v>
      </c>
      <c r="G26" s="12">
        <v>70</v>
      </c>
      <c r="H26" s="8">
        <v>20</v>
      </c>
      <c r="I26" s="4" t="s">
        <v>93</v>
      </c>
      <c r="K26" s="20"/>
    </row>
    <row r="27" spans="1:12" ht="15.75" customHeight="1">
      <c r="A27" s="5" t="s">
        <v>28</v>
      </c>
      <c r="B27" s="17">
        <v>23</v>
      </c>
      <c r="C27" s="5" t="s">
        <v>97</v>
      </c>
      <c r="D27" s="5" t="s">
        <v>29</v>
      </c>
      <c r="E27" s="5" t="s">
        <v>30</v>
      </c>
      <c r="F27" s="11" t="str">
        <f t="shared" si="0"/>
        <v>Blender Ninja</v>
      </c>
      <c r="G27" s="12">
        <v>90</v>
      </c>
      <c r="H27" s="9">
        <v>35</v>
      </c>
      <c r="I27" s="4" t="s">
        <v>16</v>
      </c>
      <c r="K27" s="22"/>
    </row>
    <row r="28" spans="1:12" ht="15.75" customHeight="1">
      <c r="A28" s="4" t="s">
        <v>85</v>
      </c>
      <c r="B28" s="16">
        <v>24</v>
      </c>
      <c r="C28" s="4" t="s">
        <v>98</v>
      </c>
      <c r="D28" s="4" t="s">
        <v>70</v>
      </c>
      <c r="E28" s="4" t="s">
        <v>86</v>
      </c>
      <c r="F28" s="11" t="str">
        <f t="shared" si="0"/>
        <v>Fitness Tracker Garmin</v>
      </c>
      <c r="G28" s="12">
        <v>130</v>
      </c>
      <c r="H28" s="8">
        <v>5</v>
      </c>
      <c r="I28" s="4" t="s">
        <v>8</v>
      </c>
    </row>
    <row r="29" spans="1:12" ht="15.75" customHeight="1">
      <c r="A29" s="5" t="s">
        <v>41</v>
      </c>
      <c r="B29" s="17">
        <v>25</v>
      </c>
      <c r="C29" s="5" t="s">
        <v>107</v>
      </c>
      <c r="D29" s="5" t="s">
        <v>10</v>
      </c>
      <c r="E29" s="5" t="s">
        <v>27</v>
      </c>
      <c r="F29" s="11" t="str">
        <f t="shared" si="0"/>
        <v>Sneakers Adidas</v>
      </c>
      <c r="G29" s="12">
        <v>90</v>
      </c>
      <c r="H29" s="9">
        <v>40</v>
      </c>
      <c r="I29" s="4" t="s">
        <v>93</v>
      </c>
    </row>
    <row r="30" spans="1:12" ht="15.75" customHeight="1">
      <c r="A30" s="5" t="s">
        <v>55</v>
      </c>
      <c r="B30" s="17">
        <v>27</v>
      </c>
      <c r="C30" s="5" t="s">
        <v>108</v>
      </c>
      <c r="D30" s="5" t="s">
        <v>39</v>
      </c>
      <c r="E30" s="5" t="s">
        <v>56</v>
      </c>
      <c r="F30" s="11" t="str">
        <f t="shared" si="0"/>
        <v>Laptop Asus</v>
      </c>
      <c r="G30" s="12">
        <v>980</v>
      </c>
      <c r="H30" s="9">
        <v>10</v>
      </c>
      <c r="I30" s="4" t="s">
        <v>8</v>
      </c>
    </row>
    <row r="31" spans="1:12" ht="15.75" customHeight="1">
      <c r="A31" s="4" t="s">
        <v>6</v>
      </c>
      <c r="B31" s="16">
        <v>28</v>
      </c>
      <c r="C31" s="4" t="s">
        <v>99</v>
      </c>
      <c r="D31" s="4" t="s">
        <v>39</v>
      </c>
      <c r="E31" s="4" t="s">
        <v>7</v>
      </c>
      <c r="F31" s="11" t="str">
        <f t="shared" si="0"/>
        <v>Laptop Dell</v>
      </c>
      <c r="G31" s="12">
        <v>1000</v>
      </c>
      <c r="H31" s="8">
        <v>30</v>
      </c>
      <c r="I31" s="4" t="s">
        <v>8</v>
      </c>
    </row>
    <row r="32" spans="1:12" ht="15.75" customHeight="1">
      <c r="A32" s="4" t="s">
        <v>72</v>
      </c>
      <c r="B32" s="16">
        <v>29</v>
      </c>
      <c r="C32" s="4" t="s">
        <v>98</v>
      </c>
      <c r="D32" s="4" t="s">
        <v>73</v>
      </c>
      <c r="E32" s="4" t="s">
        <v>74</v>
      </c>
      <c r="F32" s="11" t="str">
        <f t="shared" si="0"/>
        <v>Smartphone Google</v>
      </c>
      <c r="G32" s="12">
        <v>800</v>
      </c>
      <c r="H32" s="8">
        <v>45</v>
      </c>
      <c r="I32" s="4" t="s">
        <v>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32"/>
  <sortState ref="A2:F32">
    <sortCondition ref="A1"/>
  </sortState>
  <conditionalFormatting sqref="G1:G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{2DCAF55C-5E20-4C14-A52B-1689E76B2709}</x14:id>
        </ext>
      </extLst>
    </cfRule>
  </conditionalFormatting>
  <conditionalFormatting sqref="I1:I32">
    <cfRule type="containsText" dxfId="0" priority="1" operator="containsText" text="Electronics">
      <formula>NOT(ISERROR(SEARCH("Electronics",I1)))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AF55C-5E20-4C14-A52B-1689E76B27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2026-07-23T14:43:37Z</dcterms:created>
  <dcterms:modified xsi:type="dcterms:W3CDTF">2026-10-02T15:52:37Z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